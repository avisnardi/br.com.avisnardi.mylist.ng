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filterPrivacy="1" codeName="EstaPasta_de_trabalho" defaultThemeVersion="124226"/>
  <xr:revisionPtr revIDLastSave="0" documentId="13_ncr:1_{5A027965-D29B-4A66-912C-76580728A01F}" xr6:coauthVersionLast="47" xr6:coauthVersionMax="47" xr10:uidLastSave="{00000000-0000-0000-0000-000000000000}"/>
  <bookViews>
    <workbookView xWindow="-120" yWindow="-120" windowWidth="29040" windowHeight="15720" tabRatio="229" xr2:uid="{00000000-000D-0000-FFFF-FFFF00000000}"/>
  </bookViews>
  <sheets>
    <sheet name="Tarefas" sheetId="7" r:id="rId1"/>
    <sheet name="Dominio" sheetId="8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7" l="1"/>
  <c r="C3" i="7" l="1"/>
  <c r="A1" i="7" l="1"/>
</calcChain>
</file>

<file path=xl/sharedStrings.xml><?xml version="1.0" encoding="utf-8"?>
<sst xmlns="http://schemas.openxmlformats.org/spreadsheetml/2006/main" count="32" uniqueCount="23">
  <si>
    <t>Previsto</t>
  </si>
  <si>
    <t>Andamento</t>
  </si>
  <si>
    <t>Concluído</t>
  </si>
  <si>
    <t>Cancelado</t>
  </si>
  <si>
    <t>Descrição</t>
  </si>
  <si>
    <t>Situação</t>
  </si>
  <si>
    <t>Ordem</t>
  </si>
  <si>
    <t>Fazer</t>
  </si>
  <si>
    <t>Ordem Kanban</t>
  </si>
  <si>
    <t>Kanban</t>
  </si>
  <si>
    <t>Código</t>
  </si>
  <si>
    <t>Prioridade</t>
  </si>
  <si>
    <t>Comentario</t>
  </si>
  <si>
    <t>Id</t>
  </si>
  <si>
    <t>Aspecto</t>
  </si>
  <si>
    <t>Assunto</t>
  </si>
  <si>
    <t>01.Requisito</t>
  </si>
  <si>
    <t>02.Design</t>
  </si>
  <si>
    <t>03.Codificação</t>
  </si>
  <si>
    <t>Versão 0</t>
  </si>
  <si>
    <t>Escopo: Criar lista só com o campo nome e filtro consultando base.</t>
  </si>
  <si>
    <t>Fase</t>
  </si>
  <si>
    <t>Tratar erro se API não responder (desligada)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</si>
</sst>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2" fillId="2" borderId="5" xfId="0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1" fillId="3" borderId="4" xfId="0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 vertical="center" wrapText="1"/>
    </xf>
  </cellXfs>
  <cellStyles count="1">
    <cellStyle name="Normal" xfId="0" builtinId="0"/>
  </cellStyles>
  <dxfs count="17">
    <dxf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Medium9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I4" totalsRowShown="0" headerRowDxfId="11" dataDxfId="9" headerRowBorderDxfId="10">
  <autoFilter ref="A2:I4" xr:uid="{00000000-0009-0000-0100-000001000000}"/>
  <sortState xmlns:xlrd2="http://schemas.microsoft.com/office/spreadsheetml/2017/richdata2" ref="A3:I3">
    <sortCondition descending="1" ref="C3"/>
  </sortState>
  <tableColumns count="9">
    <tableColumn id="1" xr3:uid="{00000000-0010-0000-0000-000001000000}" name="Id" dataDxfId="8"/>
    <tableColumn id="3" xr3:uid="{00000000-0010-0000-0000-000003000000}" name="Situação" dataDxfId="7"/>
    <tableColumn id="2" xr3:uid="{00000000-0010-0000-0000-000002000000}" name="Ordem" dataDxfId="6">
      <calculatedColumnFormula>VLOOKUP(B3,Dominio!A:C,VLOOKUP($C$1,Dominio!F:G, 2,FALSE),FALSE)</calculatedColumnFormula>
    </tableColumn>
    <tableColumn id="4" xr3:uid="{00000000-0010-0000-0000-000004000000}" name="Aspecto" dataDxfId="5"/>
    <tableColumn id="10" xr3:uid="{00000000-0010-0000-0000-00000A000000}" name="Prioridade" dataDxfId="4"/>
    <tableColumn id="5" xr3:uid="{00000000-0010-0000-0000-000005000000}" name="Fase" dataDxfId="3"/>
    <tableColumn id="7" xr3:uid="{00000000-0010-0000-0000-000007000000}" name="Assunto" dataDxfId="2"/>
    <tableColumn id="6" xr3:uid="{00000000-0010-0000-0000-000006000000}" name="Descrição" dataDxfId="1"/>
    <tableColumn id="9" xr3:uid="{00000000-0010-0000-0000-000009000000}" name="Comen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J4"/>
  <sheetViews>
    <sheetView tabSelected="1" zoomScaleNormal="100" workbookViewId="0">
      <pane ySplit="2" topLeftCell="A3" activePane="bottomLeft" state="frozen"/>
      <selection pane="bottomLeft" activeCell="H5" sqref="H5"/>
    </sheetView>
  </sheetViews>
  <sheetFormatPr defaultRowHeight="15" customHeight="1" x14ac:dyDescent="0.25"/>
  <cols>
    <col min="1" max="1" width="9.140625" style="3" customWidth="1"/>
    <col min="2" max="2" width="13" bestFit="1" customWidth="1"/>
    <col min="3" max="3" width="12.28515625" style="3" customWidth="1"/>
    <col min="4" max="4" width="12.7109375" bestFit="1" customWidth="1"/>
    <col min="5" max="5" width="21.42578125" style="3" customWidth="1"/>
    <col min="6" max="6" width="14.85546875" bestFit="1" customWidth="1"/>
    <col min="7" max="7" width="25.85546875" style="3" bestFit="1" customWidth="1"/>
    <col min="8" max="8" width="61" style="1" bestFit="1" customWidth="1"/>
    <col min="9" max="9" width="13.7109375" bestFit="1" customWidth="1"/>
    <col min="10" max="10" width="12.5703125" style="2" customWidth="1"/>
  </cols>
  <sheetData>
    <row r="1" spans="1:10" ht="15" customHeight="1" thickBot="1" x14ac:dyDescent="0.3">
      <c r="A1" s="4">
        <f>MAX(A2:A999821)</f>
        <v>2</v>
      </c>
      <c r="B1" s="12"/>
      <c r="C1" s="8" t="s">
        <v>11</v>
      </c>
      <c r="D1" s="12"/>
      <c r="E1"/>
      <c r="F1" s="13"/>
      <c r="G1" s="13"/>
      <c r="H1" s="14"/>
      <c r="I1" s="19"/>
      <c r="J1"/>
    </row>
    <row r="2" spans="1:10" ht="15" customHeight="1" x14ac:dyDescent="0.25">
      <c r="A2" s="17" t="s">
        <v>13</v>
      </c>
      <c r="B2" s="17" t="s">
        <v>5</v>
      </c>
      <c r="C2" s="17" t="s">
        <v>6</v>
      </c>
      <c r="D2" s="17" t="s">
        <v>14</v>
      </c>
      <c r="E2" s="22" t="s">
        <v>11</v>
      </c>
      <c r="F2" s="18" t="s">
        <v>21</v>
      </c>
      <c r="G2" s="18" t="s">
        <v>15</v>
      </c>
      <c r="H2" s="18" t="s">
        <v>4</v>
      </c>
      <c r="I2" s="20" t="s">
        <v>12</v>
      </c>
      <c r="J2"/>
    </row>
    <row r="3" spans="1:10" ht="15" customHeight="1" x14ac:dyDescent="0.25">
      <c r="A3" s="5">
        <v>1</v>
      </c>
      <c r="B3" s="5" t="s">
        <v>0</v>
      </c>
      <c r="C3" s="7">
        <f>VLOOKUP(B3,Dominio!A:C,VLOOKUP($C$1,Dominio!F:G, 2,FALSE),FALSE)</f>
        <v>3</v>
      </c>
      <c r="D3" s="5" t="s">
        <v>16</v>
      </c>
      <c r="E3" s="16"/>
      <c r="F3" s="6">
        <v>1</v>
      </c>
      <c r="G3" s="6" t="s">
        <v>19</v>
      </c>
      <c r="H3" s="15" t="s">
        <v>20</v>
      </c>
      <c r="I3" s="21"/>
      <c r="J3"/>
    </row>
    <row r="4" spans="1:10" ht="15" customHeight="1" x14ac:dyDescent="0.25">
      <c r="A4" s="26">
        <v>2</v>
      </c>
      <c r="B4" s="26" t="s">
        <v>0</v>
      </c>
      <c r="C4" s="27">
        <f>VLOOKUP(B4,Dominio!A:C,VLOOKUP($C$1,Dominio!F:G, 2,FALSE),FALSE)</f>
        <v>3</v>
      </c>
      <c r="D4" s="26"/>
      <c r="E4" s="28"/>
      <c r="F4" s="29"/>
      <c r="G4" s="29"/>
      <c r="H4" s="30" t="s">
        <v>22</v>
      </c>
      <c r="I4" s="31"/>
      <c r="J4"/>
    </row>
  </sheetData>
  <sortState xmlns:xlrd2="http://schemas.microsoft.com/office/spreadsheetml/2017/richdata2" ref="A2:F3">
    <sortCondition ref="A2:A3"/>
  </sortState>
  <conditionalFormatting sqref="A3:I4">
    <cfRule type="expression" dxfId="16" priority="76">
      <formula>$B3="Cancelado"</formula>
    </cfRule>
    <cfRule type="expression" dxfId="15" priority="77">
      <formula>$B3="Concluído"</formula>
    </cfRule>
    <cfRule type="expression" dxfId="14" priority="78">
      <formula>$B3="Andamento"</formula>
    </cfRule>
    <cfRule type="expression" dxfId="13" priority="79">
      <formula>$B3="Previsto"</formula>
    </cfRule>
    <cfRule type="expression" dxfId="12" priority="80">
      <formula>$B3="Fazer"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Dominio!$F$2:$F$3</xm:f>
          </x14:formula1>
          <xm:sqref>C1</xm:sqref>
        </x14:dataValidation>
        <x14:dataValidation type="list" allowBlank="1" showInputMessage="1" showErrorMessage="1" xr:uid="{00000000-0002-0000-0000-000001000000}">
          <x14:formula1>
            <xm:f>Dominio!$A$2:$A$6</xm:f>
          </x14:formula1>
          <xm:sqref>B3:B4</xm:sqref>
        </x14:dataValidation>
        <x14:dataValidation type="list" allowBlank="1" showInputMessage="1" showErrorMessage="1" xr:uid="{00000000-0002-0000-0000-000002000000}">
          <x14:formula1>
            <xm:f>Dominio!$I$2:$I$3</xm:f>
          </x14:formula1>
          <xm:sqref>D1:E1</xm:sqref>
        </x14:dataValidation>
        <x14:dataValidation type="list" allowBlank="1" showInputMessage="1" showErrorMessage="1" xr:uid="{00000000-0002-0000-0000-000003000000}">
          <x14:formula1>
            <xm:f>Dominio!$I$2:$I$10</xm:f>
          </x14:formula1>
          <xm:sqref>D3:E4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1:I28"/>
  <sheetViews>
    <sheetView workbookViewId="0">
      <selection activeCell="I5" sqref="I5"/>
    </sheetView>
  </sheetViews>
  <sheetFormatPr defaultRowHeight="15" x14ac:dyDescent="0.25"/>
  <cols>
    <col min="1" max="1" width="14.140625" bestFit="1" customWidth="1"/>
    <col min="3" max="3" width="14.28515625" bestFit="1" customWidth="1"/>
    <col min="4" max="5" width="13.42578125" customWidth="1"/>
    <col min="6" max="6" width="13.42578125" style="3" customWidth="1"/>
    <col min="7" max="8" width="13.42578125" customWidth="1"/>
    <col min="9" max="9" width="23.5703125" customWidth="1"/>
  </cols>
  <sheetData>
    <row r="1" spans="1:9" x14ac:dyDescent="0.25">
      <c r="A1" s="23" t="s">
        <v>5</v>
      </c>
      <c r="B1" s="25" t="s">
        <v>6</v>
      </c>
      <c r="C1" s="25" t="s">
        <v>8</v>
      </c>
      <c r="F1" s="23" t="s">
        <v>6</v>
      </c>
      <c r="G1" s="24" t="s">
        <v>10</v>
      </c>
      <c r="I1" s="24" t="s">
        <v>14</v>
      </c>
    </row>
    <row r="2" spans="1:9" x14ac:dyDescent="0.25">
      <c r="A2" s="11" t="s">
        <v>0</v>
      </c>
      <c r="B2" s="11">
        <v>3</v>
      </c>
      <c r="C2" s="11">
        <v>1</v>
      </c>
      <c r="F2" s="9" t="s">
        <v>11</v>
      </c>
      <c r="G2" s="11">
        <v>2</v>
      </c>
      <c r="I2" s="10" t="s">
        <v>16</v>
      </c>
    </row>
    <row r="3" spans="1:9" x14ac:dyDescent="0.25">
      <c r="A3" s="11" t="s">
        <v>7</v>
      </c>
      <c r="B3" s="11">
        <v>2</v>
      </c>
      <c r="C3" s="11">
        <v>2</v>
      </c>
      <c r="F3" s="9" t="s">
        <v>9</v>
      </c>
      <c r="G3" s="11">
        <v>3</v>
      </c>
      <c r="I3" s="10" t="s">
        <v>17</v>
      </c>
    </row>
    <row r="4" spans="1:9" x14ac:dyDescent="0.25">
      <c r="A4" s="11" t="s">
        <v>1</v>
      </c>
      <c r="B4" s="11">
        <v>1</v>
      </c>
      <c r="C4" s="11">
        <v>3</v>
      </c>
      <c r="I4" s="10" t="s">
        <v>18</v>
      </c>
    </row>
    <row r="5" spans="1:9" x14ac:dyDescent="0.25">
      <c r="A5" s="11" t="s">
        <v>2</v>
      </c>
      <c r="B5" s="11">
        <v>4</v>
      </c>
      <c r="C5" s="11">
        <v>4</v>
      </c>
      <c r="I5" s="10"/>
    </row>
    <row r="6" spans="1:9" x14ac:dyDescent="0.25">
      <c r="A6" s="11" t="s">
        <v>3</v>
      </c>
      <c r="B6" s="11">
        <v>5</v>
      </c>
      <c r="C6" s="11">
        <v>5</v>
      </c>
      <c r="I6" s="10"/>
    </row>
    <row r="7" spans="1:9" x14ac:dyDescent="0.25">
      <c r="I7" s="10"/>
    </row>
    <row r="8" spans="1:9" x14ac:dyDescent="0.25">
      <c r="I8" s="10"/>
    </row>
    <row r="9" spans="1:9" x14ac:dyDescent="0.25">
      <c r="I9" s="1"/>
    </row>
    <row r="10" spans="1:9" x14ac:dyDescent="0.25">
      <c r="I10" s="1"/>
    </row>
    <row r="11" spans="1:9" x14ac:dyDescent="0.25">
      <c r="I11" s="1"/>
    </row>
    <row r="12" spans="1:9" x14ac:dyDescent="0.25">
      <c r="I12" s="1"/>
    </row>
    <row r="13" spans="1:9" x14ac:dyDescent="0.25">
      <c r="I13" s="1"/>
    </row>
    <row r="14" spans="1:9" x14ac:dyDescent="0.25">
      <c r="I14" s="1"/>
    </row>
    <row r="15" spans="1:9" x14ac:dyDescent="0.25">
      <c r="I15" s="1"/>
    </row>
    <row r="16" spans="1:9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Tarefas</vt:lpstr>
      <vt:lpstr>Dominio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2022-05-30T17:36:19Z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aplicarFiltro_1" visible="true" label="ReaplicarFiltro" imageMso="RecurrenceEdit" onAction="ReaplicarFiltro"/>
      </mso:documentControls>
    </mso:qat>
  </mso:ribbon>
</mso:customUI>
</file>